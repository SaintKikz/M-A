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Instructions" state="visible" r:id="rId5"/>
    <sheet sheetId="3" name="Atlas_Raw" state="visible" r:id="rId6"/>
    <sheet sheetId="4" name="Comps_Raw" state="visible" r:id="rId7"/>
    <sheet sheetId="5" name="Trading_Comps" state="visible" r:id="rId8"/>
    <sheet sheetId="6" name="DCF" state="visible" r:id="rId9"/>
    <sheet sheetId="7" name="Valuation_Summary" state="visible" r:id="rId10"/>
    <sheet sheetId="8" name="Checks" state="visible" r:id="rId11"/>
    <sheet sheetId="9" name="_LAB_META" state="veryHidden" r:id="rId12"/>
  </sheets>
  <definedNames>
    <definedName name="ATLAS_MARKET_CAP_NOVA">'Trading_Comps'!$C$7</definedName>
    <definedName name="ATLAS_EV_NOVA">'Trading_Comps'!$D$7</definedName>
    <definedName name="ATLAS_COMPS_MEDIAN_EV_EBITDA_27">'Trading_Comps'!$H$18</definedName>
    <definedName name="ATLAS_IMPLIED_EV_COMPS">'Trading_Comps'!$D$24</definedName>
    <definedName name="ATLAS_IMPLIED_EQUITY_COMPS">'Trading_Comps'!$D$29</definedName>
    <definedName name="ATLAS_IMPLIED_PRICE_COMPS">'Trading_Comps'!$D$31</definedName>
    <definedName name="ATLAS_WACC">DCF!$D$16</definedName>
    <definedName name="ATLAS_UFCF_26">DCF!$D$30</definedName>
    <definedName name="ATLAS_UFCF_27">DCF!$E$30</definedName>
    <definedName name="ATLAS_UFCF_28">DCF!$F$30</definedName>
    <definedName name="ATLAS_UFCF_29">DCF!$G$30</definedName>
    <definedName name="ATLAS_UFCF_30">DCF!$H$30</definedName>
    <definedName name="ATLAS_DCF_PV_FCF">DCF!$D$40</definedName>
    <definedName name="ATLAS_DCF_PV_TV">DCF!$D$41</definedName>
    <definedName name="ATLAS_DCF_EV">DCF!$D$42</definedName>
    <definedName name="ATLAS_DCF_EQUITY">DCF!$D$47</definedName>
    <definedName name="ATLAS_DCF_PRICE">DCF!$D$49</definedName>
    <definedName name="ATLAS_MODEL_CHECK">Checks!$D$18</definedName>
  </definedNames>
  <calcPr calcId="171027"/>
</workbook>
</file>

<file path=xl/sharedStrings.xml><?xml version="1.0" encoding="utf-8"?>
<sst xmlns="http://schemas.openxmlformats.org/spreadsheetml/2006/main" count="237" uniqueCount="202">
  <si>
    <t>PROJECT ATLAS</t>
  </si>
  <si>
    <t>Analyse de valorisation préliminaire</t>
  </si>
  <si>
    <t>Cible</t>
  </si>
  <si>
    <t>Atlas Consumer Group</t>
  </si>
  <si>
    <t>Secteur</t>
  </si>
  <si>
    <t>Consommation / Produits de marque</t>
  </si>
  <si>
    <t>Géographie</t>
  </si>
  <si>
    <t>Europe</t>
  </si>
  <si>
    <t>Devise</t>
  </si>
  <si>
    <t>EUR — montants en M€</t>
  </si>
  <si>
    <t>Stade</t>
  </si>
  <si>
    <t>Préparation sell-side — phase amont</t>
  </si>
  <si>
    <t>Préparé pour</t>
  </si>
  <si>
    <t>Emma Roberts, Associate</t>
  </si>
  <si>
    <t>Préparé par</t>
  </si>
  <si>
    <t>Analyste</t>
  </si>
  <si>
    <t>Version du cas</t>
  </si>
  <si>
    <t>project_atlas_v1 · 1.1.0</t>
  </si>
  <si>
    <t>CONVENTIONS</t>
  </si>
  <si>
    <t>Bleu</t>
  </si>
  <si>
    <t>saisie en dur (hypothèse)</t>
  </si>
  <si>
    <t>Noir</t>
  </si>
  <si>
    <t>formule</t>
  </si>
  <si>
    <t>Vert</t>
  </si>
  <si>
    <t>lien depuis un autre onglet</t>
  </si>
  <si>
    <t>Ce classeur est un exercice pédagogique. Société et données entièrement fictives.</t>
  </si>
  <si>
    <t>INSTRUCTIONS</t>
  </si>
  <si>
    <t>1.</t>
  </si>
  <si>
    <t>Complète l'onglet Trading_Comps : market cap, enterprise value et les six multiples de chaque comparable.</t>
  </si>
  <si>
    <t>2.</t>
  </si>
  <si>
    <t>Renseigne les statistiques (min, Q1, médiane, Q3, max) sous le tableau des comps.</t>
  </si>
  <si>
    <t>3.</t>
  </si>
  <si>
    <t>Applique la médiane EV/EBITDA FY27E à l'EBITDA FY27E d'Atlas, puis déroule le bridge jusqu'au prix par action.</t>
  </si>
  <si>
    <t>4.</t>
  </si>
  <si>
    <t>Complète l'onglet DCF : EBIT, impôt, NOPAT, UFCF sur FY26E-FY30E.</t>
  </si>
  <si>
    <t>5.</t>
  </si>
  <si>
    <t>Construis le WACC à partir des hypothèses (CAPM puis pondération).</t>
  </si>
  <si>
    <t>6.</t>
  </si>
  <si>
    <t>Actualise les flux (convention mi-année), calcule la valeur terminale par Gordon, puis l'EV, l'equity et le prix.</t>
  </si>
  <si>
    <t>7.</t>
  </si>
  <si>
    <t>Remplis la table de sensibilité WACC × croissance terminale.</t>
  </si>
  <si>
    <t>8.</t>
  </si>
  <si>
    <t>Reporte les fourchettes dans Valuation_Summary.</t>
  </si>
  <si>
    <t>9.</t>
  </si>
  <si>
    <t>Vérifie que l'onglet Checks affiche MODEL CHECK = OK.</t>
  </si>
  <si>
    <t>10.</t>
  </si>
  <si>
    <t>Enregistre le fichier au format .xlsx et dépose-le sur la plateforme.</t>
  </si>
  <si>
    <t>Les cellules à compléter sont surlignées en jaune pâle. Utilise des FORMULES : un chiffre saisi en dur ne reçoit qu'un crédit partiel.</t>
  </si>
  <si>
    <t>Important : enregistre depuis Excel (ou LibreOffice) pour que les formules soient recalculées avant l'envoi.</t>
  </si>
  <si>
    <t>ATLAS CONSUMER GROUP — DONNÉES FINANCIÈRES</t>
  </si>
  <si>
    <t>EUR en millions · A = réalisé, E = plan d'affaires</t>
  </si>
  <si>
    <t>Exercice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</si>
  <si>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</si>
  <si>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</si>
  <si>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</si>
  <si>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</si>
  <si>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</si>
  <si>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</si>
  <si>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</si>
  <si>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</si>
  <si>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Chiffre d'affaires</t>
  </si>
  <si>
    <t>Croissance (%)</t>
  </si>
  <si>
    <t>n.a.</t>
  </si>
  <si>
    <t>EBITDA</t>
  </si>
  <si>
    <t>Marge d'EBITDA (%)</t>
  </si>
  <si>
    <t>Dotations aux amortissements (D&amp;A)</t>
  </si>
  <si>
    <t>EBIT</t>
  </si>
  <si>
    <t>Investissements (capex)</t>
  </si>
  <si>
    <t>Variation du BFR</t>
  </si>
  <si>
    <t>STRUCTURE DE CAPITAL (au dernier arrêté FY25A)</t>
  </si>
  <si>
    <t>Trésorerie et équivalents</t>
  </si>
  <si>
    <t>Dette financière brute</t>
  </si>
  <si>
    <t>Dettes de loyers (IFRS 16)</t>
  </si>
  <si>
    <t>Intérêts minoritaires</t>
  </si>
  <si>
    <t>Nombre d'actions diluées (m)</t>
  </si>
  <si>
    <t>Taux d'impôt</t>
  </si>
  <si>
    <t>COMPARABLES BOURSIERS — DONNÉES BRUTES</t>
  </si>
  <si>
    <t>Cours au 31/12/2025 · montants en M€ · consensus de place (fictif)</t>
  </si>
  <si>
    <t>Société</t>
  </si>
  <si>
    <t>Cours (€)</t>
  </si>
  <si>
    <t>Actions dil. (m)</t>
  </si>
  <si>
    <t>Trésorerie</t>
  </si>
  <si>
    <t>Dette</t>
  </si>
  <si>
    <t>Dettes loyers</t>
  </si>
  <si>
    <t>Minoritaires</t>
  </si>
  <si>
    <t>CA FY25</t>
  </si>
  <si>
    <t>CA FY26E</t>
  </si>
  <si>
    <t>CA FY27E</t>
  </si>
  <si>
    <t>EBITDA FY25</t>
  </si>
  <si>
    <t>EBITDA FY26E</t>
  </si>
  <si>
    <t>EBITDA FY27E</t>
  </si>
  <si>
    <t>EBIT FY25</t>
  </si>
  <si>
    <t>EBIT FY26E</t>
  </si>
  <si>
    <t>EBIT FY27E</t>
  </si>
  <si>
    <t>Nova Brands</t>
  </si>
  <si>
    <t>Everest Consumer</t>
  </si>
  <si>
    <t>Northstar Products</t>
  </si>
  <si>
    <t>Velora Group</t>
  </si>
  <si>
    <t>Prime Household</t>
  </si>
  <si>
    <t>Meridian Brands</t>
  </si>
  <si>
    <t>Orion Consumer</t>
  </si>
  <si>
    <t>Summit Products</t>
  </si>
  <si>
    <t>Note : les données de plan proviennent du consensus. Vérifie la cohérence des périmètres avant de retenir un comparable.</t>
  </si>
  <si>
    <t>TRADING COMPARABLES</t>
  </si>
  <si>
    <t>Enterprise value = market cap + dette + dettes de loyers + minoritaires − trésorerie</t>
  </si>
  <si>
    <t>Market cap</t>
  </si>
  <si>
    <t>Enterprise value</t>
  </si>
  <si>
    <t>EV/CA FY26E</t>
  </si>
  <si>
    <t>EV/CA FY27E</t>
  </si>
  <si>
    <t>EV/EBITDA FY26E</t>
  </si>
  <si>
    <t>EV/EBITDA FY27E</t>
  </si>
  <si>
    <t>EV/EBIT FY26E</t>
  </si>
  <si>
    <t>EV/EBIT FY27E</t>
  </si>
  <si>
    <t>STATISTIQUES</t>
  </si>
  <si>
    <t>Minimum</t>
  </si>
  <si>
    <t>1er quartile</t>
  </si>
  <si>
    <t>Médiane</t>
  </si>
  <si>
    <t>3e quartile</t>
  </si>
  <si>
    <t>Maximum</t>
  </si>
  <si>
    <t>VALORISATION IMPLICITE D'ATLAS — EV/EBITDA FY27E</t>
  </si>
  <si>
    <t>EBITDA FY27E d'Atlas</t>
  </si>
  <si>
    <t>× Médiane EV/EBITDA FY27E  =  Enterprise value implicite</t>
  </si>
  <si>
    <t>− Dette financière brute</t>
  </si>
  <si>
    <t>− Dettes de loyers</t>
  </si>
  <si>
    <t>− Intérêts minoritaires</t>
  </si>
  <si>
    <t>+ Trésorerie</t>
  </si>
  <si>
    <t>= Equity value implicite</t>
  </si>
  <si>
    <t>÷ Actions diluées (m)</t>
  </si>
  <si>
    <t>= Prix par action implicite (€)</t>
  </si>
  <si>
    <t>Prix implicite au 1er quartile (€)</t>
  </si>
  <si>
    <t>Prix implicite au 3e quartile (€)</t>
  </si>
  <si>
    <t>Rappel : un comparable peut sembler décoté pour de bonnes raisons. Regarde la croissance et la marge avant de conclure.</t>
  </si>
  <si>
    <t>DCF — FLUX DE TRÉSORERIE DISPONIBLES NON LEVIERS</t>
  </si>
  <si>
    <t>EUR en millions · convention mi-année · valeur terminale par Gordon</t>
  </si>
  <si>
    <t>HYPOTHÈSES DE COÛT DU CAPITAL</t>
  </si>
  <si>
    <t>Taux sans risque</t>
  </si>
  <si>
    <t>Prime de risque actions</t>
  </si>
  <si>
    <t>Beta</t>
  </si>
  <si>
    <t>Coût de la dette avant impôt</t>
  </si>
  <si>
    <t>Poids de la dette</t>
  </si>
  <si>
    <t>Poids des capitaux propres</t>
  </si>
  <si>
    <t>Coût des capitaux propres (CAPM)</t>
  </si>
  <si>
    <t>WACC</t>
  </si>
  <si>
    <t>Croissance à l'infini (g)</t>
  </si>
  <si>
    <t>PROJECTION DES FLUX</t>
  </si>
  <si>
    <t>D&amp;A</t>
  </si>
  <si>
    <t>Impôt sur l'EBIT</t>
  </si>
  <si>
    <t>NOPAT</t>
  </si>
  <si>
    <t>= UFCF</t>
  </si>
  <si>
    <t>+ D&amp;A</t>
  </si>
  <si>
    <t>− Capex</t>
  </si>
  <si>
    <t>− Variation du BFR</t>
  </si>
  <si>
    <t>Période d'actualisation (mi-année)</t>
  </si>
  <si>
    <t>Facteur d'actualisation</t>
  </si>
  <si>
    <t>PV de l'UFCF</t>
  </si>
  <si>
    <t>VALEUR TERMINALE ET VALORISATION</t>
  </si>
  <si>
    <t>Somme des PV des UFCF</t>
  </si>
  <si>
    <t>PV de la valeur terminale</t>
  </si>
  <si>
    <t>= Enterprise value</t>
  </si>
  <si>
    <t>= Equity value</t>
  </si>
  <si>
    <t>= Prix par action (€)</t>
  </si>
  <si>
    <t>SENSIBILITÉ — PRIX PAR ACTION (€)</t>
  </si>
  <si>
    <t>WACC ↓  /  croissance à l'infini →</t>
  </si>
  <si>
    <t>Sélectionne C54:H59 puis Données → Analyse de scénarios → Table de données. Cellule d'entrée en ligne : D17 (croissance). Cellule d'entrée en colonne : D16 (WACC). La cellule C54 référence déjà la sortie à sensibiliser.</t>
  </si>
  <si>
    <t>SYNTHÈSE DE VALORISATION</t>
  </si>
  <si>
    <t>Prix par action implicite (€)</t>
  </si>
  <si>
    <t>Méthode</t>
  </si>
  <si>
    <t>Bas</t>
  </si>
  <si>
    <t>Central</t>
  </si>
  <si>
    <t>Haut</t>
  </si>
  <si>
    <t>Comparables boursiers (EV/EBITDA FY27E)</t>
  </si>
  <si>
    <t>DCF (WACC × croissance à l'infini)</t>
  </si>
  <si>
    <t>Fourchette illustrative retenue</t>
  </si>
  <si>
    <t>Les fourchettes de valorisation sont des résultats d'analyse, pas des valeurs de marché objectives.</t>
  </si>
  <si>
    <t>Les méthodes ne convergent pas mécaniquement : l'écart entre comparables et DCF est une information, pas une erreur à corriger. Le choix de la fourchette relève du jugement, et doit être argumenté.</t>
  </si>
  <si>
    <t>CONTRÔLES DU MODÈLE</t>
  </si>
  <si>
    <t>Contrôle</t>
  </si>
  <si>
    <t>Attendu</t>
  </si>
  <si>
    <t>Résultat</t>
  </si>
  <si>
    <t>Bridge comps : EV − dettes + trésorerie = equity</t>
  </si>
  <si>
    <t>VRAI</t>
  </si>
  <si>
    <t>Bridge DCF : EV − dettes + trésorerie = equity</t>
  </si>
  <si>
    <t>Croissance à l'infini &lt; WACC</t>
  </si>
  <si>
    <t>Nombre d'actions strictement positif</t>
  </si>
  <si>
    <t>Aucune erreur dans les multiples de comps</t>
  </si>
  <si>
    <t>Aucune erreur dans les flux du DCF</t>
  </si>
  <si>
    <t>Statistiques de comps renseignées</t>
  </si>
  <si>
    <t>Table de sensibilité renseignée</t>
  </si>
  <si>
    <t>EV du DCF strictement positive</t>
  </si>
  <si>
    <t>Prix par action du DCF cohérent (&gt; 0)</t>
  </si>
  <si>
    <t>MODEL CHECK</t>
  </si>
  <si>
    <t>MODEL CHECK doit afficher OK avant tout envoi. Un contrôle rouge signifie que le modèle n'est pas prêt.</t>
  </si>
  <si>
    <t>case_id</t>
  </si>
  <si>
    <t>project_atlas_v1</t>
  </si>
  <si>
    <t>case_version</t>
  </si>
  <si>
    <t>1.1.0</t>
  </si>
  <si>
    <t>grader_version</t>
  </si>
  <si>
    <t>1.2</t>
  </si>
  <si>
    <t>variant</t>
  </si>
  <si>
    <t>solution</t>
  </si>
  <si>
    <t>required_named_ranges</t>
  </si>
  <si>
    <t>ATLAS_MARKET_CAP_NOVA,ATLAS_EV_NOVA,ATLAS_COMPS_MEDIAN_EV_EBITDA_27,ATLAS_IMPLIED_EV_COMPS,ATLAS_IMPLIED_EQUITY_COMPS,ATLAS_IMPLIED_PRICE_COMPS,ATLAS_WACC,ATLAS_UFCF_26,ATLAS_UFCF_27,ATLAS_UFCF_28,ATLAS_UFCF_29,ATLAS_UFCF_30,ATLAS_DCF_PV_FCF,ATLAS_DCF_PV_TV,ATLAS_DCF_EV,ATLAS_DCF_EQUITY,ATLAS_DCF_PRICE,ATLAS_MODEL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</si>
</sst>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;(#,##0.0);&quot;–&quot;"/>
    <numFmt numFmtId="165" formatCode="0.0%;(0.0%);&quot;–&quot;"/>
    <numFmt numFmtId="166" formatCode="#,##0.00;(#,##0.00);&quot;–&quot;"/>
    <numFmt numFmtId="167" formatCode="0.0&quot;x&quot;;(0.0&quot;x&quot;);&quot;–&quot;"/>
    <numFmt numFmtId="168" formatCode="0.00&quot;x&quot;;(0.00&quot;x&quot;);&quot;–&quot;"/>
    <numFmt numFmtId="169" formatCode="0.00%;(0.00%);&quot;–&quot;"/>
    <numFmt numFmtId="170" formatCode="0.0"/>
    <numFmt numFmtId="171" formatCode="0.0000"/>
  </numFmts>
  <fonts count="15" x14ac:knownFonts="1">
    <font>
      <color theme="1"/>
      <family val="2"/>
      <scheme val="minor"/>
      <sz val="11"/>
      <name val="Calibri"/>
    </font>
    <font>
      <b/>
      <color rgb="FF1F3864"/>
      <sz val="20"/>
      <name val="Calibri"/>
    </font>
    <font>
      <i/>
      <color rgb="FF333333"/>
      <sz val="11"/>
      <name val="Calibri"/>
    </font>
    <font>
      <b/>
      <color rgb="FF1F3864"/>
      <sz val="10"/>
      <name val="Calibri"/>
    </font>
    <font>
      <color rgb="FF333333"/>
      <sz val="10"/>
      <name val="Calibri"/>
    </font>
    <font>
      <color rgb="FF0000CC"/>
      <sz val="10"/>
      <name val="Calibri"/>
    </font>
    <font>
      <color rgb="FF000000"/>
      <sz val="10"/>
      <name val="Calibri"/>
    </font>
    <font>
      <color rgb="FF007A3D"/>
      <sz val="10"/>
      <name val="Calibri"/>
    </font>
    <font>
      <i/>
      <color rgb="FF333333"/>
      <sz val="9"/>
      <name val="Calibri"/>
    </font>
    <font>
      <b/>
      <color rgb="FF1F3864"/>
      <sz val="14"/>
      <name val="Calibri"/>
    </font>
    <font>
      <i/>
      <color rgb="FF333333"/>
      <sz val="10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b/>
      <color rgb="FF1F3864"/>
      <sz val="12"/>
      <name val="Calibri"/>
    </font>
    <font>
      <b/>
      <color rgb="FF006100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 style="thin">
        <color rgb="FF1F38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vertical="top"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right"/>
    </xf>
    <xf numFmtId="164" fontId="5" fillId="0" borderId="0" xfId="0" applyNumberFormat="1" applyFont="1"/>
    <xf numFmtId="0" fontId="4" fillId="0" borderId="0" xfId="0" applyFont="1" applyAlignment="1">
      <alignment horizontal="right"/>
    </xf>
    <xf numFmtId="165" fontId="6" fillId="0" borderId="0" xfId="0" applyNumberFormat="1" applyFont="1"/>
    <xf numFmtId="164" fontId="6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7" fontId="6" fillId="0" borderId="0" xfId="0" applyNumberFormat="1" applyFont="1"/>
    <xf numFmtId="168" fontId="6" fillId="0" borderId="0" xfId="0" applyNumberFormat="1" applyFont="1"/>
    <xf numFmtId="164" fontId="7" fillId="0" borderId="0" xfId="0" applyNumberFormat="1" applyFont="1"/>
    <xf numFmtId="164" fontId="6" fillId="0" borderId="1" xfId="0" applyNumberFormat="1" applyFont="1" applyBorder="1"/>
    <xf numFmtId="166" fontId="6" fillId="0" borderId="1" xfId="0" applyNumberFormat="1" applyFont="1" applyBorder="1"/>
    <xf numFmtId="166" fontId="6" fillId="0" borderId="0" xfId="0" applyNumberFormat="1" applyFont="1"/>
    <xf numFmtId="169" fontId="5" fillId="0" borderId="0" xfId="0" applyNumberFormat="1" applyFont="1"/>
    <xf numFmtId="2" fontId="5" fillId="0" borderId="0" xfId="0" applyNumberFormat="1" applyFont="1"/>
    <xf numFmtId="169" fontId="6" fillId="0" borderId="0" xfId="0" applyNumberFormat="1" applyFont="1"/>
    <xf numFmtId="170" fontId="5" fillId="0" borderId="0" xfId="0" applyNumberFormat="1" applyFont="1"/>
    <xf numFmtId="171" fontId="6" fillId="0" borderId="0" xfId="0" applyNumberFormat="1" applyFont="1"/>
    <xf numFmtId="165" fontId="12" fillId="2" borderId="0" xfId="0" applyNumberFormat="1" applyFont="1" applyFill="1"/>
    <xf numFmtId="0" fontId="11" fillId="0" borderId="0" xfId="0" applyFont="1"/>
    <xf numFmtId="0" fontId="8" fillId="0" borderId="0" xfId="0" applyFont="1" applyAlignment="1">
      <alignment wrapText="1"/>
    </xf>
    <xf numFmtId="0" fontId="4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13" fillId="0" borderId="0" xfId="0" applyFont="1"/>
    <xf numFmtId="49" fontId="1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Views>
    <sheetView workbookViewId="0" showGridLines="0"/>
  </sheetViews>
  <sheetFormatPr defaultRowHeight="15" outlineLevelRow="0" outlineLevelCol="0" x14ac:dyDescent="55"/>
  <cols>
    <col min="2" max="2" width="26" customWidth="1"/>
    <col min="3" max="3" width="52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4" t="s">
        <v>3</v>
      </c>
    </row>
    <row r="7" spans="2:3" x14ac:dyDescent="0.25">
      <c r="B7" s="3" t="s">
        <v>4</v>
      </c>
      <c r="C7" s="4" t="s">
        <v>5</v>
      </c>
    </row>
    <row r="8" spans="2:3" x14ac:dyDescent="0.25">
      <c r="B8" s="3" t="s">
        <v>6</v>
      </c>
      <c r="C8" s="4" t="s">
        <v>7</v>
      </c>
    </row>
    <row r="9" spans="2:3" x14ac:dyDescent="0.25">
      <c r="B9" s="3" t="s">
        <v>8</v>
      </c>
      <c r="C9" s="4" t="s">
        <v>9</v>
      </c>
    </row>
    <row r="10" spans="2:3" x14ac:dyDescent="0.25">
      <c r="B10" s="3" t="s">
        <v>10</v>
      </c>
      <c r="C10" s="4" t="s">
        <v>11</v>
      </c>
    </row>
    <row r="11" spans="2:3" x14ac:dyDescent="0.25">
      <c r="B11" s="3" t="s">
        <v>12</v>
      </c>
      <c r="C11" s="4" t="s">
        <v>13</v>
      </c>
    </row>
    <row r="12" spans="2:3" x14ac:dyDescent="0.25">
      <c r="B12" s="3" t="s">
        <v>14</v>
      </c>
      <c r="C12" s="4" t="s">
        <v>15</v>
      </c>
    </row>
    <row r="13" spans="2:3" x14ac:dyDescent="0.25">
      <c r="B13" s="3" t="s">
        <v>16</v>
      </c>
      <c r="C13" s="4" t="s">
        <v>17</v>
      </c>
    </row>
    <row r="16" spans="2:2" x14ac:dyDescent="0.25">
      <c r="B16" s="3" t="s">
        <v>18</v>
      </c>
    </row>
    <row r="17" spans="2:3" x14ac:dyDescent="0.25">
      <c r="B17" s="5" t="s">
        <v>19</v>
      </c>
      <c r="C17" s="4" t="s">
        <v>20</v>
      </c>
    </row>
    <row r="18" spans="2:3" x14ac:dyDescent="0.25">
      <c r="B18" s="6" t="s">
        <v>21</v>
      </c>
      <c r="C18" s="4" t="s">
        <v>22</v>
      </c>
    </row>
    <row r="19" spans="2:3" x14ac:dyDescent="0.25">
      <c r="B19" s="7" t="s">
        <v>23</v>
      </c>
      <c r="C19" s="4" t="s">
        <v>24</v>
      </c>
    </row>
    <row r="21" spans="2:2" x14ac:dyDescent="0.25">
      <c r="B21" s="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8"/>
  <sheetViews>
    <sheetView workbookViewId="0" showGridLines="0"/>
  </sheetViews>
  <sheetFormatPr defaultRowHeight="15" outlineLevelRow="0" outlineLevelCol="0" x14ac:dyDescent="55"/>
  <cols>
    <col min="2" max="2" width="4" customWidth="1"/>
    <col min="3" max="3" width="100" customWidth="1"/>
  </cols>
  <sheetData>
    <row r="2" spans="2:2" x14ac:dyDescent="0.25">
      <c r="B2" s="9" t="s">
        <v>26</v>
      </c>
    </row>
    <row r="4" spans="2:3" x14ac:dyDescent="0.25">
      <c r="B4" s="3" t="s">
        <v>27</v>
      </c>
      <c r="C4" s="10" t="s">
        <v>28</v>
      </c>
    </row>
    <row r="5" spans="2:3" x14ac:dyDescent="0.25">
      <c r="B5" s="3" t="s">
        <v>29</v>
      </c>
      <c r="C5" s="10" t="s">
        <v>30</v>
      </c>
    </row>
    <row r="6" spans="2:3" x14ac:dyDescent="0.25">
      <c r="B6" s="3" t="s">
        <v>31</v>
      </c>
      <c r="C6" s="10" t="s">
        <v>32</v>
      </c>
    </row>
    <row r="7" spans="2:3" x14ac:dyDescent="0.25">
      <c r="B7" s="3" t="s">
        <v>33</v>
      </c>
      <c r="C7" s="10" t="s">
        <v>34</v>
      </c>
    </row>
    <row r="8" spans="2:3" x14ac:dyDescent="0.25">
      <c r="B8" s="3" t="s">
        <v>35</v>
      </c>
      <c r="C8" s="10" t="s">
        <v>36</v>
      </c>
    </row>
    <row r="9" spans="2:3" x14ac:dyDescent="0.25">
      <c r="B9" s="3" t="s">
        <v>37</v>
      </c>
      <c r="C9" s="10" t="s">
        <v>38</v>
      </c>
    </row>
    <row r="10" spans="2:3" x14ac:dyDescent="0.25">
      <c r="B10" s="3" t="s">
        <v>39</v>
      </c>
      <c r="C10" s="10" t="s">
        <v>40</v>
      </c>
    </row>
    <row r="11" spans="2:3" x14ac:dyDescent="0.25">
      <c r="B11" s="3" t="s">
        <v>41</v>
      </c>
      <c r="C11" s="10" t="s">
        <v>42</v>
      </c>
    </row>
    <row r="12" spans="2:3" x14ac:dyDescent="0.25">
      <c r="B12" s="3" t="s">
        <v>43</v>
      </c>
      <c r="C12" s="10" t="s">
        <v>44</v>
      </c>
    </row>
    <row r="13" spans="2:3" x14ac:dyDescent="0.25">
      <c r="B13" s="3" t="s">
        <v>45</v>
      </c>
      <c r="C13" s="10" t="s">
        <v>46</v>
      </c>
    </row>
    <row r="16" spans="3:3" x14ac:dyDescent="0.25">
      <c r="C16" s="11" t="s">
        <v>47</v>
      </c>
    </row>
    <row r="18" spans="3:3" x14ac:dyDescent="0.25">
      <c r="C18" s="1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2" max="2" width="32" customWidth="1"/>
    <col min="3" max="10" width="11" customWidth="1"/>
  </cols>
  <sheetData>
    <row r="2" spans="2:2" x14ac:dyDescent="0.25">
      <c r="B2" s="9" t="s">
        <v>49</v>
      </c>
    </row>
    <row r="3" spans="2:2" x14ac:dyDescent="0.25">
      <c r="B3" s="8" t="s">
        <v>50</v>
      </c>
    </row>
    <row r="5" spans="2:10" x14ac:dyDescent="0.25">
      <c r="B5" s="13" t="s">
        <v>51</v>
      </c>
      <c r="C5" s="14" t="s">
        <v>52</v>
      </c>
      <c r="D5" s="14" t="s">
        <v>53</v>
      </c>
      <c r="E5" s="14" t="s">
        <v>54</v>
      </c>
      <c r="F5" s="14" t="s">
        <v>55</v>
      </c>
      <c r="G5" s="14" t="s">
        <v>56</v>
      </c>
      <c r="H5" s="14" t="s">
        <v>57</v>
      </c>
      <c r="I5" s="14" t="s">
        <v>58</v>
      </c>
      <c r="J5" s="14" t="s">
        <v>59</v>
      </c>
    </row>
    <row r="6" spans="2:10" x14ac:dyDescent="0.25">
      <c r="B6" s="4" t="s">
        <v>60</v>
      </c>
      <c r="C6" s="15">
        <v>742</v>
      </c>
      <c r="D6" s="15">
        <v>798.5</v>
      </c>
      <c r="E6" s="15">
        <v>841.2</v>
      </c>
      <c r="F6" s="15">
        <v>892</v>
      </c>
      <c r="G6" s="15">
        <v>945.5</v>
      </c>
      <c r="H6" s="15">
        <v>996</v>
      </c>
      <c r="I6" s="15">
        <v>1041</v>
      </c>
      <c r="J6" s="15">
        <v>1082.6</v>
      </c>
    </row>
    <row r="7" spans="2:10" x14ac:dyDescent="0.25">
      <c r="B7" s="4" t="s">
        <v>61</v>
      </c>
      <c r="C7" s="16" t="s">
        <v>62</v>
      </c>
      <c r="D7" s="17">
        <f>D6/C6-1</f>
        <v>0.07614555256064692</v>
      </c>
      <c r="E7" s="17">
        <f>E6/D6-1</f>
        <v>0.05347526612398257</v>
      </c>
      <c r="F7" s="17">
        <f>F6/E6-1</f>
        <v>0.060389919163100325</v>
      </c>
      <c r="G7" s="17">
        <f>G6/F6-1</f>
        <v>0.059977578475336246</v>
      </c>
      <c r="H7" s="17">
        <f>H6/G6-1</f>
        <v>0.053410893707033225</v>
      </c>
      <c r="I7" s="17">
        <f>I6/H6-1</f>
        <v>0.04518072289156616</v>
      </c>
      <c r="J7" s="17">
        <f>J6/I6-1</f>
        <v>0.039961575408261174</v>
      </c>
    </row>
    <row r="8" spans="2:10" x14ac:dyDescent="0.25">
      <c r="B8" s="4" t="s">
        <v>63</v>
      </c>
      <c r="C8" s="15">
        <v>118.7</v>
      </c>
      <c r="D8" s="15">
        <v>133.6</v>
      </c>
      <c r="E8" s="15">
        <v>145.5</v>
      </c>
      <c r="F8" s="15">
        <v>158.8</v>
      </c>
      <c r="G8" s="15">
        <v>172.1</v>
      </c>
      <c r="H8" s="15">
        <v>184.3</v>
      </c>
      <c r="I8" s="15">
        <v>194.7</v>
      </c>
      <c r="J8" s="15">
        <v>204.6</v>
      </c>
    </row>
    <row r="9" spans="2:10" x14ac:dyDescent="0.25">
      <c r="B9" s="4" t="s">
        <v>64</v>
      </c>
      <c r="C9" s="17">
        <f>C8/C6</f>
        <v>0.15997304582210242</v>
      </c>
      <c r="D9" s="17">
        <f>D8/D6</f>
        <v>0.167313713212273</v>
      </c>
      <c r="E9" s="17">
        <f>E8/E6</f>
        <v>0.1729671897289586</v>
      </c>
      <c r="F9" s="17">
        <f>F8/F6</f>
        <v>0.17802690582959643</v>
      </c>
      <c r="G9" s="17">
        <f>G8/G6</f>
        <v>0.18202009518773135</v>
      </c>
      <c r="H9" s="17">
        <f>H8/H6</f>
        <v>0.18504016064257028</v>
      </c>
      <c r="I9" s="17">
        <f>I8/I6</f>
        <v>0.18703170028818442</v>
      </c>
      <c r="J9" s="17">
        <f>J8/J6</f>
        <v>0.18898946979493814</v>
      </c>
    </row>
    <row r="10" spans="2:10" x14ac:dyDescent="0.25">
      <c r="B10" s="4" t="s">
        <v>65</v>
      </c>
      <c r="C10" s="15">
        <v>29.7</v>
      </c>
      <c r="D10" s="15">
        <v>31.1</v>
      </c>
      <c r="E10" s="15">
        <v>32.8</v>
      </c>
      <c r="F10" s="15">
        <v>34.8</v>
      </c>
      <c r="G10" s="15">
        <v>36.9</v>
      </c>
      <c r="H10" s="15">
        <v>38.8</v>
      </c>
      <c r="I10" s="15">
        <v>40.6</v>
      </c>
      <c r="J10" s="15">
        <v>42.2</v>
      </c>
    </row>
    <row r="11" spans="2:10" x14ac:dyDescent="0.25">
      <c r="B11" s="4" t="s">
        <v>66</v>
      </c>
      <c r="C11" s="18">
        <f>C8-C10</f>
        <v>89</v>
      </c>
      <c r="D11" s="18">
        <f>D8-D10</f>
        <v>102.5</v>
      </c>
      <c r="E11" s="18">
        <f>E8-E10</f>
        <v>112.7</v>
      </c>
      <c r="F11" s="18">
        <f>F8-F10</f>
        <v>124.00000000000001</v>
      </c>
      <c r="G11" s="18">
        <f>G8-G10</f>
        <v>135.2</v>
      </c>
      <c r="H11" s="18">
        <f>H8-H10</f>
        <v>145.5</v>
      </c>
      <c r="I11" s="18">
        <f>I8-I10</f>
        <v>154.1</v>
      </c>
      <c r="J11" s="18">
        <f>J8-J10</f>
        <v>162.39999999999998</v>
      </c>
    </row>
    <row r="12" spans="2:10" x14ac:dyDescent="0.25">
      <c r="B12" s="4" t="s">
        <v>67</v>
      </c>
      <c r="C12" s="15">
        <v>31.2</v>
      </c>
      <c r="D12" s="15">
        <v>33.5</v>
      </c>
      <c r="E12" s="15">
        <v>35.3</v>
      </c>
      <c r="F12" s="15">
        <v>37.5</v>
      </c>
      <c r="G12" s="15">
        <v>39.7</v>
      </c>
      <c r="H12" s="15">
        <v>41.8</v>
      </c>
      <c r="I12" s="15">
        <v>43.7</v>
      </c>
      <c r="J12" s="15">
        <v>45.5</v>
      </c>
    </row>
    <row r="13" spans="2:10" x14ac:dyDescent="0.25">
      <c r="B13" s="4" t="s">
        <v>68</v>
      </c>
      <c r="C13" s="15">
        <v>7.4</v>
      </c>
      <c r="D13" s="15">
        <v>5.7</v>
      </c>
      <c r="E13" s="15">
        <v>4.3</v>
      </c>
      <c r="F13" s="15">
        <v>5.1</v>
      </c>
      <c r="G13" s="15">
        <v>5.4</v>
      </c>
      <c r="H13" s="15">
        <v>5.1</v>
      </c>
      <c r="I13" s="15">
        <v>4.5</v>
      </c>
      <c r="J13" s="15">
        <v>4.2</v>
      </c>
    </row>
    <row r="16" spans="2:2" x14ac:dyDescent="0.25">
      <c r="B16" s="3" t="s">
        <v>69</v>
      </c>
    </row>
    <row r="17" spans="2:3" x14ac:dyDescent="0.25">
      <c r="B17" s="4" t="s">
        <v>70</v>
      </c>
      <c r="C17" s="15">
        <v>68.4</v>
      </c>
    </row>
    <row r="18" spans="2:3" x14ac:dyDescent="0.25">
      <c r="B18" s="4" t="s">
        <v>71</v>
      </c>
      <c r="C18" s="15">
        <v>315</v>
      </c>
    </row>
    <row r="19" spans="2:3" x14ac:dyDescent="0.25">
      <c r="B19" s="4" t="s">
        <v>72</v>
      </c>
      <c r="C19" s="15">
        <v>84.5</v>
      </c>
    </row>
    <row r="20" spans="2:3" x14ac:dyDescent="0.25">
      <c r="B20" s="4" t="s">
        <v>73</v>
      </c>
      <c r="C20" s="15">
        <v>22</v>
      </c>
    </row>
    <row r="21" spans="2:3" x14ac:dyDescent="0.25">
      <c r="B21" s="4" t="s">
        <v>74</v>
      </c>
      <c r="C21" s="15">
        <v>48.6</v>
      </c>
    </row>
    <row r="22" spans="2:3" x14ac:dyDescent="0.25">
      <c r="B22" s="4" t="s">
        <v>75</v>
      </c>
      <c r="C22" s="19">
        <v>0.26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6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2" max="2" width="24" customWidth="1"/>
    <col min="3" max="18" width="11" customWidth="1"/>
  </cols>
  <sheetData>
    <row r="2" spans="2:2" x14ac:dyDescent="0.25">
      <c r="B2" s="9" t="s">
        <v>76</v>
      </c>
    </row>
    <row r="3" spans="2:2" x14ac:dyDescent="0.25">
      <c r="B3" s="8" t="s">
        <v>77</v>
      </c>
    </row>
    <row r="5" spans="2:17" x14ac:dyDescent="0.25">
      <c r="B5" s="13" t="s">
        <v>78</v>
      </c>
      <c r="C5" s="14" t="s">
        <v>79</v>
      </c>
      <c r="D5" s="14" t="s">
        <v>80</v>
      </c>
      <c r="E5" s="14" t="s">
        <v>81</v>
      </c>
      <c r="F5" s="14" t="s">
        <v>82</v>
      </c>
      <c r="G5" s="14" t="s">
        <v>83</v>
      </c>
      <c r="H5" s="14" t="s">
        <v>84</v>
      </c>
      <c r="I5" s="14" t="s">
        <v>85</v>
      </c>
      <c r="J5" s="14" t="s">
        <v>86</v>
      </c>
      <c r="K5" s="14" t="s">
        <v>87</v>
      </c>
      <c r="L5" s="14" t="s">
        <v>88</v>
      </c>
      <c r="M5" s="14" t="s">
        <v>89</v>
      </c>
      <c r="N5" s="14" t="s">
        <v>90</v>
      </c>
      <c r="O5" s="14" t="s">
        <v>91</v>
      </c>
      <c r="P5" s="14" t="s">
        <v>92</v>
      </c>
      <c r="Q5" s="14" t="s">
        <v>93</v>
      </c>
    </row>
    <row r="6" spans="2:17" x14ac:dyDescent="0.25">
      <c r="B6" s="4" t="s">
        <v>94</v>
      </c>
      <c r="C6" s="20">
        <v>42.8</v>
      </c>
      <c r="D6" s="15">
        <v>96.2</v>
      </c>
      <c r="E6" s="15">
        <v>121</v>
      </c>
      <c r="F6" s="15">
        <v>640</v>
      </c>
      <c r="G6" s="15">
        <v>152</v>
      </c>
      <c r="H6" s="15">
        <v>18</v>
      </c>
      <c r="I6" s="15">
        <v>1980</v>
      </c>
      <c r="J6" s="15">
        <v>2079</v>
      </c>
      <c r="K6" s="15">
        <v>2172.6</v>
      </c>
      <c r="L6" s="15">
        <v>356.4</v>
      </c>
      <c r="M6" s="15">
        <v>385</v>
      </c>
      <c r="N6" s="15">
        <v>410.6</v>
      </c>
      <c r="O6" s="15">
        <v>267.3</v>
      </c>
      <c r="P6" s="15">
        <v>291.1</v>
      </c>
      <c r="Q6" s="15">
        <v>312.1</v>
      </c>
    </row>
    <row r="7" spans="2:17" x14ac:dyDescent="0.25">
      <c r="B7" s="4" t="s">
        <v>95</v>
      </c>
      <c r="C7" s="20">
        <v>28.15</v>
      </c>
      <c r="D7" s="15">
        <v>145</v>
      </c>
      <c r="E7" s="15">
        <v>88</v>
      </c>
      <c r="F7" s="15">
        <v>720</v>
      </c>
      <c r="G7" s="15">
        <v>118</v>
      </c>
      <c r="H7" s="15">
        <v>0</v>
      </c>
      <c r="I7" s="15">
        <v>2310</v>
      </c>
      <c r="J7" s="15">
        <v>2402.4</v>
      </c>
      <c r="K7" s="15">
        <v>2486.5</v>
      </c>
      <c r="L7" s="15">
        <v>392.7</v>
      </c>
      <c r="M7" s="15">
        <v>414.4</v>
      </c>
      <c r="N7" s="15">
        <v>435.1</v>
      </c>
      <c r="O7" s="15">
        <v>289.6</v>
      </c>
      <c r="P7" s="15">
        <v>308.9</v>
      </c>
      <c r="Q7" s="15">
        <v>326.3</v>
      </c>
    </row>
    <row r="8" spans="2:17" x14ac:dyDescent="0.25">
      <c r="B8" s="4" t="s">
        <v>96</v>
      </c>
      <c r="C8" s="20">
        <v>61.4</v>
      </c>
      <c r="D8" s="15">
        <v>52.8</v>
      </c>
      <c r="E8" s="15">
        <v>54</v>
      </c>
      <c r="F8" s="15">
        <v>385</v>
      </c>
      <c r="G8" s="15">
        <v>66</v>
      </c>
      <c r="H8" s="15">
        <v>12</v>
      </c>
      <c r="I8" s="15">
        <v>1104</v>
      </c>
      <c r="J8" s="15">
        <v>1181.3</v>
      </c>
      <c r="K8" s="15">
        <v>1252.2</v>
      </c>
      <c r="L8" s="15">
        <v>210</v>
      </c>
      <c r="M8" s="15">
        <v>229.2</v>
      </c>
      <c r="N8" s="15">
        <v>247.9</v>
      </c>
      <c r="O8" s="15">
        <v>163.8</v>
      </c>
      <c r="P8" s="15">
        <v>180</v>
      </c>
      <c r="Q8" s="15">
        <v>195.8</v>
      </c>
    </row>
    <row r="9" spans="2:17" x14ac:dyDescent="0.25">
      <c r="B9" s="4" t="s">
        <v>97</v>
      </c>
      <c r="C9" s="20">
        <v>9.6</v>
      </c>
      <c r="D9" s="15">
        <v>210</v>
      </c>
      <c r="E9" s="15">
        <v>42</v>
      </c>
      <c r="F9" s="15">
        <v>980</v>
      </c>
      <c r="G9" s="15">
        <v>205</v>
      </c>
      <c r="H9" s="15">
        <v>34</v>
      </c>
      <c r="I9" s="15">
        <v>2650</v>
      </c>
      <c r="J9" s="15">
        <v>2676.5</v>
      </c>
      <c r="K9" s="15">
        <v>2690</v>
      </c>
      <c r="L9" s="15">
        <v>397.5</v>
      </c>
      <c r="M9" s="15">
        <v>388.1</v>
      </c>
      <c r="N9" s="15">
        <v>376.6</v>
      </c>
      <c r="O9" s="15">
        <v>278.3</v>
      </c>
      <c r="P9" s="15">
        <v>267.7</v>
      </c>
      <c r="Q9" s="15">
        <v>255.6</v>
      </c>
    </row>
    <row r="10" spans="2:17" x14ac:dyDescent="0.25">
      <c r="B10" s="4" t="s">
        <v>98</v>
      </c>
      <c r="C10" s="20">
        <v>35.6</v>
      </c>
      <c r="D10" s="15">
        <v>78.4</v>
      </c>
      <c r="E10" s="15">
        <v>96</v>
      </c>
      <c r="F10" s="15">
        <v>410</v>
      </c>
      <c r="G10" s="15">
        <v>74</v>
      </c>
      <c r="H10" s="15">
        <v>8</v>
      </c>
      <c r="I10" s="15">
        <v>1385</v>
      </c>
      <c r="J10" s="15">
        <v>1468.1</v>
      </c>
      <c r="K10" s="15">
        <v>1548.8</v>
      </c>
      <c r="L10" s="15">
        <v>249.3</v>
      </c>
      <c r="M10" s="15">
        <v>268.6</v>
      </c>
      <c r="N10" s="15">
        <v>287.1</v>
      </c>
      <c r="O10" s="15">
        <v>194</v>
      </c>
      <c r="P10" s="15">
        <v>211</v>
      </c>
      <c r="Q10" s="15">
        <v>227.3</v>
      </c>
    </row>
    <row r="11" spans="2:17" x14ac:dyDescent="0.25">
      <c r="B11" s="4" t="s">
        <v>99</v>
      </c>
      <c r="C11" s="20">
        <v>54.25</v>
      </c>
      <c r="D11" s="15">
        <v>63.5</v>
      </c>
      <c r="E11" s="15">
        <v>73</v>
      </c>
      <c r="F11" s="15">
        <v>495</v>
      </c>
      <c r="G11" s="15">
        <v>92</v>
      </c>
      <c r="H11" s="15">
        <v>15</v>
      </c>
      <c r="I11" s="15">
        <v>1512</v>
      </c>
      <c r="J11" s="15">
        <v>1602.7</v>
      </c>
      <c r="K11" s="15">
        <v>1690.9</v>
      </c>
      <c r="L11" s="15">
        <v>279.7</v>
      </c>
      <c r="M11" s="15">
        <v>302.9</v>
      </c>
      <c r="N11" s="15">
        <v>324.6</v>
      </c>
      <c r="O11" s="15">
        <v>215.2</v>
      </c>
      <c r="P11" s="15">
        <v>235.6</v>
      </c>
      <c r="Q11" s="15">
        <v>254.9</v>
      </c>
    </row>
    <row r="12" spans="2:17" x14ac:dyDescent="0.25">
      <c r="B12" s="4" t="s">
        <v>100</v>
      </c>
      <c r="C12" s="20">
        <v>23.7</v>
      </c>
      <c r="D12" s="15">
        <v>118</v>
      </c>
      <c r="E12" s="15">
        <v>61</v>
      </c>
      <c r="F12" s="15">
        <v>528</v>
      </c>
      <c r="G12" s="15">
        <v>103</v>
      </c>
      <c r="H12" s="15">
        <v>0</v>
      </c>
      <c r="I12" s="15">
        <v>1740</v>
      </c>
      <c r="J12" s="15">
        <v>1809.6</v>
      </c>
      <c r="K12" s="15">
        <v>1881.9</v>
      </c>
      <c r="L12" s="15">
        <v>295.8</v>
      </c>
      <c r="M12" s="15">
        <v>312.1</v>
      </c>
      <c r="N12" s="15">
        <v>329.3</v>
      </c>
      <c r="O12" s="15">
        <v>217.5</v>
      </c>
      <c r="P12" s="15">
        <v>231.6</v>
      </c>
      <c r="Q12" s="15">
        <v>246.5</v>
      </c>
    </row>
    <row r="13" spans="2:17" x14ac:dyDescent="0.25">
      <c r="B13" s="4" t="s">
        <v>101</v>
      </c>
      <c r="C13" s="20">
        <v>78.9</v>
      </c>
      <c r="D13" s="15">
        <v>34.2</v>
      </c>
      <c r="E13" s="15">
        <v>38</v>
      </c>
      <c r="F13" s="15">
        <v>268</v>
      </c>
      <c r="G13" s="15">
        <v>47</v>
      </c>
      <c r="H13" s="15">
        <v>6</v>
      </c>
      <c r="I13" s="15">
        <v>826</v>
      </c>
      <c r="J13" s="15">
        <v>891.1</v>
      </c>
      <c r="K13" s="15">
        <v>954.2</v>
      </c>
      <c r="L13" s="15">
        <v>165.2</v>
      </c>
      <c r="M13" s="15">
        <v>181.8</v>
      </c>
      <c r="N13" s="15">
        <v>197.5</v>
      </c>
      <c r="O13" s="15">
        <v>132.2</v>
      </c>
      <c r="P13" s="15">
        <v>146.5</v>
      </c>
      <c r="Q13" s="15">
        <v>160.1</v>
      </c>
    </row>
    <row r="16" spans="2:2" x14ac:dyDescent="0.25">
      <c r="B16" s="8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2" max="2" width="24" customWidth="1"/>
    <col min="3" max="10" width="13" customWidth="1"/>
  </cols>
  <sheetData>
    <row r="2" spans="2:2" x14ac:dyDescent="0.25">
      <c r="B2" s="9" t="s">
        <v>103</v>
      </c>
    </row>
    <row r="3" spans="2:2" x14ac:dyDescent="0.25">
      <c r="B3" s="8" t="s">
        <v>104</v>
      </c>
    </row>
    <row r="6" spans="2:10" x14ac:dyDescent="0.25">
      <c r="B6" s="13" t="s">
        <v>78</v>
      </c>
      <c r="C6" s="14" t="s">
        <v>105</v>
      </c>
      <c r="D6" s="14" t="s">
        <v>106</v>
      </c>
      <c r="E6" s="14" t="s">
        <v>107</v>
      </c>
      <c r="F6" s="14" t="s">
        <v>108</v>
      </c>
      <c r="G6" s="14" t="s">
        <v>109</v>
      </c>
      <c r="H6" s="14" t="s">
        <v>110</v>
      </c>
      <c r="I6" s="14" t="s">
        <v>111</v>
      </c>
      <c r="J6" s="14" t="s">
        <v>112</v>
      </c>
    </row>
    <row r="7" spans="2:10" x14ac:dyDescent="0.25">
      <c r="B7" s="7" t="s">
        <v>94</v>
      </c>
      <c r="C7" s="18">
        <f>Comps_Raw!C6*Comps_Raw!D6</f>
        <v>4117.36</v>
      </c>
      <c r="D7" s="18">
        <f>C7+Comps_Raw!F6+Comps_Raw!G6+Comps_Raw!H6-Comps_Raw!E6</f>
        <v>4806.36</v>
      </c>
      <c r="E7" s="21">
        <f>D7/Comps_Raw!J6</f>
        <v>2.3118614718614716</v>
      </c>
      <c r="F7" s="21">
        <f>D7/Comps_Raw!K6</f>
        <v>2.212261806130903</v>
      </c>
      <c r="G7" s="21">
        <f>D7/Comps_Raw!M6</f>
        <v>12.484051948051947</v>
      </c>
      <c r="H7" s="21">
        <f>D7/Comps_Raw!N6</f>
        <v>11.705698977106671</v>
      </c>
      <c r="I7" s="21">
        <f>D7/Comps_Raw!P6</f>
        <v>16.511027138440397</v>
      </c>
      <c r="J7" s="21">
        <f>D7/Comps_Raw!Q6</f>
        <v>15.40006408202499</v>
      </c>
    </row>
    <row r="8" spans="2:10" x14ac:dyDescent="0.25">
      <c r="B8" s="7" t="s">
        <v>95</v>
      </c>
      <c r="C8" s="18">
        <f>Comps_Raw!C7*Comps_Raw!D7</f>
        <v>4081.75</v>
      </c>
      <c r="D8" s="18">
        <f>C8+Comps_Raw!F7+Comps_Raw!G7+Comps_Raw!H7-Comps_Raw!E7</f>
        <v>4831.75</v>
      </c>
      <c r="E8" s="21">
        <f>D8/Comps_Raw!J7</f>
        <v>2.0112179487179485</v>
      </c>
      <c r="F8" s="21">
        <f>D8/Comps_Raw!K7</f>
        <v>1.9431932435149808</v>
      </c>
      <c r="G8" s="21">
        <f>D8/Comps_Raw!M7</f>
        <v>11.659628378378379</v>
      </c>
      <c r="H8" s="21">
        <f>D8/Comps_Raw!N7</f>
        <v>11.10491840956102</v>
      </c>
      <c r="I8" s="21">
        <f>D8/Comps_Raw!P7</f>
        <v>15.641793460666884</v>
      </c>
      <c r="J8" s="21">
        <f>D8/Comps_Raw!Q7</f>
        <v>14.807692307692307</v>
      </c>
    </row>
    <row r="9" spans="2:10" x14ac:dyDescent="0.25">
      <c r="B9" s="7" t="s">
        <v>96</v>
      </c>
      <c r="C9" s="18">
        <f>Comps_Raw!C8*Comps_Raw!D8</f>
        <v>3241.9199999999996</v>
      </c>
      <c r="D9" s="18">
        <f>C9+Comps_Raw!F8+Comps_Raw!G8+Comps_Raw!H8-Comps_Raw!E8</f>
        <v>3650.9199999999996</v>
      </c>
      <c r="E9" s="21">
        <f>D9/Comps_Raw!J8</f>
        <v>3.0905951070854143</v>
      </c>
      <c r="F9" s="21">
        <f>D9/Comps_Raw!K8</f>
        <v>2.9156045360166103</v>
      </c>
      <c r="G9" s="21">
        <f>D9/Comps_Raw!M8</f>
        <v>15.928970331588133</v>
      </c>
      <c r="H9" s="21">
        <f>D9/Comps_Raw!N8</f>
        <v>14.727390076643806</v>
      </c>
      <c r="I9" s="21">
        <f>D9/Comps_Raw!P8</f>
        <v>20.282888888888888</v>
      </c>
      <c r="J9" s="21">
        <f>D9/Comps_Raw!Q8</f>
        <v>18.6461695607763</v>
      </c>
    </row>
    <row r="10" spans="2:10" x14ac:dyDescent="0.25">
      <c r="B10" s="7" t="s">
        <v>97</v>
      </c>
      <c r="C10" s="18">
        <f>Comps_Raw!C9*Comps_Raw!D9</f>
        <v>2016</v>
      </c>
      <c r="D10" s="18">
        <f>C10+Comps_Raw!F9+Comps_Raw!G9+Comps_Raw!H9-Comps_Raw!E9</f>
        <v>3193</v>
      </c>
      <c r="E10" s="21">
        <f>D10/Comps_Raw!J9</f>
        <v>1.1929759013637213</v>
      </c>
      <c r="F10" s="21">
        <f>D10/Comps_Raw!K9</f>
        <v>1.1869888475836432</v>
      </c>
      <c r="G10" s="21">
        <f>D10/Comps_Raw!M9</f>
        <v>8.227261015202266</v>
      </c>
      <c r="H10" s="21">
        <f>D10/Comps_Raw!N9</f>
        <v>8.478491768454592</v>
      </c>
      <c r="I10" s="21">
        <f>D10/Comps_Raw!P9</f>
        <v>11.92753081807994</v>
      </c>
      <c r="J10" s="21">
        <f>D10/Comps_Raw!Q9</f>
        <v>12.492175273865415</v>
      </c>
    </row>
    <row r="11" spans="2:10" x14ac:dyDescent="0.25">
      <c r="B11" s="7" t="s">
        <v>98</v>
      </c>
      <c r="C11" s="18">
        <f>Comps_Raw!C10*Comps_Raw!D10</f>
        <v>2791.0400000000004</v>
      </c>
      <c r="D11" s="18">
        <f>C11+Comps_Raw!F10+Comps_Raw!G10+Comps_Raw!H10-Comps_Raw!E10</f>
        <v>3187.0400000000004</v>
      </c>
      <c r="E11" s="21">
        <f>D11/Comps_Raw!J10</f>
        <v>2.17086029562019</v>
      </c>
      <c r="F11" s="21">
        <f>D11/Comps_Raw!K10</f>
        <v>2.057747933884298</v>
      </c>
      <c r="G11" s="21">
        <f>D11/Comps_Raw!M10</f>
        <v>11.865376023827253</v>
      </c>
      <c r="H11" s="21">
        <f>D11/Comps_Raw!N10</f>
        <v>11.10080111459422</v>
      </c>
      <c r="I11" s="21">
        <f>D11/Comps_Raw!P10</f>
        <v>15.10445497630332</v>
      </c>
      <c r="J11" s="21">
        <f>D11/Comps_Raw!Q10</f>
        <v>14.021293444786627</v>
      </c>
    </row>
    <row r="12" spans="2:10" x14ac:dyDescent="0.25">
      <c r="B12" s="7" t="s">
        <v>99</v>
      </c>
      <c r="C12" s="18">
        <f>Comps_Raw!C11*Comps_Raw!D11</f>
        <v>3444.875</v>
      </c>
      <c r="D12" s="18">
        <f>C12+Comps_Raw!F11+Comps_Raw!G11+Comps_Raw!H11-Comps_Raw!E11</f>
        <v>3973.875</v>
      </c>
      <c r="E12" s="21">
        <f>D12/Comps_Raw!J11</f>
        <v>2.4794877394396955</v>
      </c>
      <c r="F12" s="21">
        <f>D12/Comps_Raw!K11</f>
        <v>2.35015376426755</v>
      </c>
      <c r="G12" s="21">
        <f>D12/Comps_Raw!M11</f>
        <v>13.119428854407396</v>
      </c>
      <c r="H12" s="21">
        <f>D12/Comps_Raw!N11</f>
        <v>12.242375231053604</v>
      </c>
      <c r="I12" s="21">
        <f>D12/Comps_Raw!P11</f>
        <v>16.867041595925297</v>
      </c>
      <c r="J12" s="21">
        <f>D12/Comps_Raw!Q11</f>
        <v>15.589937230286386</v>
      </c>
    </row>
    <row r="13" spans="2:10" x14ac:dyDescent="0.25">
      <c r="B13" s="7" t="s">
        <v>100</v>
      </c>
      <c r="C13" s="18">
        <f>Comps_Raw!C12*Comps_Raw!D12</f>
        <v>2796.6</v>
      </c>
      <c r="D13" s="18">
        <f>C13+Comps_Raw!F12+Comps_Raw!G12+Comps_Raw!H12-Comps_Raw!E12</f>
        <v>3366.6</v>
      </c>
      <c r="E13" s="21">
        <f>D13/Comps_Raw!J12</f>
        <v>1.8604111405835544</v>
      </c>
      <c r="F13" s="21">
        <f>D13/Comps_Raw!K12</f>
        <v>1.7889367128965405</v>
      </c>
      <c r="G13" s="21">
        <f>D13/Comps_Raw!M12</f>
        <v>10.786927266901634</v>
      </c>
      <c r="H13" s="21">
        <f>D13/Comps_Raw!N12</f>
        <v>10.223504403279684</v>
      </c>
      <c r="I13" s="21">
        <f>D13/Comps_Raw!P12</f>
        <v>14.536269430051814</v>
      </c>
      <c r="J13" s="21">
        <f>D13/Comps_Raw!Q12</f>
        <v>13.65760649087221</v>
      </c>
    </row>
    <row r="14" spans="2:10" x14ac:dyDescent="0.25">
      <c r="B14" s="7" t="s">
        <v>101</v>
      </c>
      <c r="C14" s="18">
        <f>Comps_Raw!C13*Comps_Raw!D13</f>
        <v>2698.3800000000006</v>
      </c>
      <c r="D14" s="18">
        <f>C14+Comps_Raw!F13+Comps_Raw!G13+Comps_Raw!H13-Comps_Raw!E13</f>
        <v>2981.3800000000006</v>
      </c>
      <c r="E14" s="21">
        <f>D14/Comps_Raw!J13</f>
        <v>3.345729996633375</v>
      </c>
      <c r="F14" s="21">
        <f>D14/Comps_Raw!K13</f>
        <v>3.1244812408300153</v>
      </c>
      <c r="G14" s="21">
        <f>D14/Comps_Raw!M13</f>
        <v>16.3992299229923</v>
      </c>
      <c r="H14" s="21">
        <f>D14/Comps_Raw!N13</f>
        <v>15.095594936708864</v>
      </c>
      <c r="I14" s="21">
        <f>D14/Comps_Raw!P13</f>
        <v>20.350716723549493</v>
      </c>
      <c r="J14" s="21">
        <f>D14/Comps_Raw!Q13</f>
        <v>18.621986258588386</v>
      </c>
    </row>
    <row r="15" spans="2:2" x14ac:dyDescent="0.25">
      <c r="B15" s="3" t="s">
        <v>113</v>
      </c>
    </row>
    <row r="16" spans="2:10" x14ac:dyDescent="0.25">
      <c r="B16" s="4" t="s">
        <v>114</v>
      </c>
      <c r="E16" s="22">
        <f>MIN(E7:E14)</f>
        <v>1.1929759013637213</v>
      </c>
      <c r="F16" s="22">
        <f>MIN(F7:F14)</f>
        <v>1.1869888475836432</v>
      </c>
      <c r="G16" s="22">
        <f>MIN(G7:G14)</f>
        <v>8.227261015202266</v>
      </c>
      <c r="H16" s="22">
        <f>MIN(H7:H14)</f>
        <v>8.478491768454592</v>
      </c>
      <c r="I16" s="22">
        <f>MIN(I7:I14)</f>
        <v>11.92753081807994</v>
      </c>
      <c r="J16" s="22">
        <f>MIN(J7:J14)</f>
        <v>12.492175273865415</v>
      </c>
    </row>
    <row r="17" spans="2:10" x14ac:dyDescent="0.25">
      <c r="B17" s="4" t="s">
        <v>115</v>
      </c>
      <c r="E17" s="22">
        <f>QUARTILE.INC(E7:E14,1)</f>
        <v>1.9735162466843499</v>
      </c>
      <c r="F17" s="22">
        <f>QUARTILE.INC(F7:F14,1)</f>
        <v>1.9046291108603708</v>
      </c>
      <c r="G17" s="22">
        <f>QUARTILE.INC(G7:G14,1)</f>
        <v>11.441453100509193</v>
      </c>
      <c r="H17" s="22">
        <f>QUARTILE.INC(H7:H14,1)</f>
        <v>10.881476936765585</v>
      </c>
      <c r="I17" s="22">
        <f>QUARTILE.INC(I7:I14,1)</f>
        <v>14.962408589740443</v>
      </c>
      <c r="J17" s="22">
        <f>QUARTILE.INC(J7:J14,1)</f>
        <v>13.930371706308023</v>
      </c>
    </row>
    <row r="18" spans="2:10" x14ac:dyDescent="0.25">
      <c r="B18" s="4" t="s">
        <v>116</v>
      </c>
      <c r="E18" s="22">
        <f>MEDIAN(E7:E14)</f>
        <v>2.241360883740831</v>
      </c>
      <c r="F18" s="22">
        <f>MEDIAN(F7:F14)</f>
        <v>2.1350048700076005</v>
      </c>
      <c r="G18" s="22">
        <f>MEDIAN(G7:G14)</f>
        <v>12.1747139859396</v>
      </c>
      <c r="H18" s="22">
        <f>MEDIAN(H7:H14)</f>
        <v>11.405308693333845</v>
      </c>
      <c r="I18" s="22">
        <f>MEDIAN(I7:I14)</f>
        <v>16.07641029955364</v>
      </c>
      <c r="J18" s="22">
        <f>MEDIAN(J7:J14)</f>
        <v>15.103878194858648</v>
      </c>
    </row>
    <row r="19" spans="2:10" x14ac:dyDescent="0.25">
      <c r="B19" s="4" t="s">
        <v>117</v>
      </c>
      <c r="E19" s="22">
        <f>QUARTILE.INC(E7:E14,3)</f>
        <v>2.632264581351125</v>
      </c>
      <c r="F19" s="22">
        <f>QUARTILE.INC(F7:F14,3)</f>
        <v>2.491516457204815</v>
      </c>
      <c r="G19" s="22">
        <f>QUARTILE.INC(G7:G14,3)</f>
        <v>13.82181422370258</v>
      </c>
      <c r="H19" s="22">
        <f>QUARTILE.INC(H7:H14,3)</f>
        <v>12.863628942451154</v>
      </c>
      <c r="I19" s="22">
        <f>QUARTILE.INC(I7:I14,3)</f>
        <v>17.721003419166195</v>
      </c>
      <c r="J19" s="22">
        <f>QUARTILE.INC(J7:J14,3)</f>
        <v>16.347949487361888</v>
      </c>
    </row>
    <row r="20" spans="2:10" x14ac:dyDescent="0.25">
      <c r="B20" s="4" t="s">
        <v>118</v>
      </c>
      <c r="E20" s="22">
        <f>MAX(E7:E14)</f>
        <v>3.345729996633375</v>
      </c>
      <c r="F20" s="22">
        <f>MAX(F7:F14)</f>
        <v>3.1244812408300153</v>
      </c>
      <c r="G20" s="22">
        <f>MAX(G7:G14)</f>
        <v>16.3992299229923</v>
      </c>
      <c r="H20" s="22">
        <f>MAX(H7:H14)</f>
        <v>15.095594936708864</v>
      </c>
      <c r="I20" s="22">
        <f>MAX(I7:I14)</f>
        <v>20.350716723549493</v>
      </c>
      <c r="J20" s="22">
        <f>MAX(J7:J14)</f>
        <v>18.6461695607763</v>
      </c>
    </row>
    <row r="22" spans="2:2" x14ac:dyDescent="0.25">
      <c r="B22" s="3" t="s">
        <v>119</v>
      </c>
    </row>
    <row r="23" spans="2:4" x14ac:dyDescent="0.25">
      <c r="B23" s="4" t="s">
        <v>120</v>
      </c>
      <c r="D23" s="23">
        <f>Atlas_Raw!G8</f>
        <v>172.1</v>
      </c>
    </row>
    <row r="24" spans="2:4" x14ac:dyDescent="0.25">
      <c r="B24" s="4" t="s">
        <v>121</v>
      </c>
      <c r="D24" s="18">
        <f>D23*H18</f>
        <v>1962.8536261227548</v>
      </c>
    </row>
    <row r="25" spans="2:4" x14ac:dyDescent="0.25">
      <c r="B25" s="4" t="s">
        <v>122</v>
      </c>
      <c r="D25" s="23">
        <f>-Atlas_Raw!C18</f>
        <v>-315</v>
      </c>
    </row>
    <row r="26" spans="2:4" x14ac:dyDescent="0.25">
      <c r="B26" s="4" t="s">
        <v>123</v>
      </c>
      <c r="D26" s="23">
        <f>-Atlas_Raw!C19</f>
        <v>-84.5</v>
      </c>
    </row>
    <row r="27" spans="2:4" x14ac:dyDescent="0.25">
      <c r="B27" s="4" t="s">
        <v>124</v>
      </c>
      <c r="D27" s="23">
        <f>-Atlas_Raw!C20</f>
        <v>-22</v>
      </c>
    </row>
    <row r="28" spans="2:4" x14ac:dyDescent="0.25">
      <c r="B28" s="4" t="s">
        <v>125</v>
      </c>
      <c r="D28" s="23">
        <f>Atlas_Raw!C17</f>
        <v>68.4</v>
      </c>
    </row>
    <row r="29" spans="2:4" x14ac:dyDescent="0.25">
      <c r="B29" s="3" t="s">
        <v>126</v>
      </c>
      <c r="D29" s="24">
        <f>SUM(D24:D28)</f>
        <v>1609.753626122755</v>
      </c>
    </row>
    <row r="30" spans="2:4" x14ac:dyDescent="0.25">
      <c r="B30" s="4" t="s">
        <v>127</v>
      </c>
      <c r="D30" s="23">
        <f>Atlas_Raw!C21</f>
        <v>48.6</v>
      </c>
    </row>
    <row r="31" spans="2:4" x14ac:dyDescent="0.25">
      <c r="B31" s="3" t="s">
        <v>128</v>
      </c>
      <c r="D31" s="25">
        <f>D29/D30</f>
        <v>33.12250259511841</v>
      </c>
    </row>
    <row r="32" spans="2:4" x14ac:dyDescent="0.25">
      <c r="B32" s="4" t="s">
        <v>129</v>
      </c>
      <c r="D32" s="26">
        <f>(D23*H17+SUM(D25:D28))/D30</f>
        <v>31.267534584719286</v>
      </c>
    </row>
    <row r="33" spans="2:4" x14ac:dyDescent="0.25">
      <c r="B33" s="4" t="s">
        <v>130</v>
      </c>
      <c r="D33" s="26">
        <f>(D23*H19+SUM(D25:D28))/D30</f>
        <v>38.28663664600501</v>
      </c>
    </row>
    <row r="36" spans="2:2" x14ac:dyDescent="0.25">
      <c r="B36" s="8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1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2" max="2" width="34" customWidth="1"/>
    <col min="3" max="8" width="12" customWidth="1"/>
  </cols>
  <sheetData>
    <row r="2" spans="2:2" x14ac:dyDescent="0.25">
      <c r="B2" s="9" t="s">
        <v>132</v>
      </c>
    </row>
    <row r="3" spans="2:2" x14ac:dyDescent="0.25">
      <c r="B3" s="8" t="s">
        <v>133</v>
      </c>
    </row>
    <row r="6" spans="2:2" x14ac:dyDescent="0.25">
      <c r="B6" s="3" t="s">
        <v>134</v>
      </c>
    </row>
    <row r="7" spans="2:4" x14ac:dyDescent="0.25">
      <c r="B7" s="4" t="s">
        <v>135</v>
      </c>
      <c r="D7" s="27">
        <v>0.032</v>
      </c>
    </row>
    <row r="8" spans="2:4" x14ac:dyDescent="0.25">
      <c r="B8" s="4" t="s">
        <v>136</v>
      </c>
      <c r="D8" s="27">
        <v>0.065</v>
      </c>
    </row>
    <row r="9" spans="2:4" x14ac:dyDescent="0.25">
      <c r="B9" s="4" t="s">
        <v>137</v>
      </c>
      <c r="D9" s="28">
        <v>1.12</v>
      </c>
    </row>
    <row r="10" spans="2:4" x14ac:dyDescent="0.25">
      <c r="B10" s="4" t="s">
        <v>138</v>
      </c>
      <c r="D10" s="27">
        <v>0.05</v>
      </c>
    </row>
    <row r="11" spans="2:4" x14ac:dyDescent="0.25">
      <c r="B11" s="4" t="s">
        <v>75</v>
      </c>
      <c r="D11" s="19">
        <v>0.26</v>
      </c>
    </row>
    <row r="12" spans="2:4" x14ac:dyDescent="0.25">
      <c r="B12" s="4" t="s">
        <v>139</v>
      </c>
      <c r="D12" s="19">
        <v>0.3</v>
      </c>
    </row>
    <row r="13" spans="2:4" x14ac:dyDescent="0.25">
      <c r="B13" s="4" t="s">
        <v>140</v>
      </c>
      <c r="D13" s="19">
        <v>0.7</v>
      </c>
    </row>
    <row r="15" spans="2:4" x14ac:dyDescent="0.25">
      <c r="B15" s="4" t="s">
        <v>141</v>
      </c>
      <c r="D15" s="29">
        <f>D7+D9*D8</f>
        <v>0.1048</v>
      </c>
    </row>
    <row r="16" spans="2:4" x14ac:dyDescent="0.25">
      <c r="B16" s="3" t="s">
        <v>142</v>
      </c>
      <c r="D16" s="29">
        <f>D15*D13+D10*(1-D11)*D12</f>
        <v>0.08446</v>
      </c>
    </row>
    <row r="17" spans="2:4" x14ac:dyDescent="0.25">
      <c r="B17" s="4" t="s">
        <v>143</v>
      </c>
      <c r="D17" s="27">
        <v>0.025</v>
      </c>
    </row>
    <row r="20" spans="2:2" x14ac:dyDescent="0.25">
      <c r="B20" s="3" t="s">
        <v>144</v>
      </c>
    </row>
    <row r="21" spans="2:8" x14ac:dyDescent="0.25">
      <c r="B21" s="13" t="s">
        <v>51</v>
      </c>
      <c r="D21" s="14" t="s">
        <v>55</v>
      </c>
      <c r="E21" s="14" t="s">
        <v>56</v>
      </c>
      <c r="F21" s="14" t="s">
        <v>57</v>
      </c>
      <c r="G21" s="14" t="s">
        <v>58</v>
      </c>
      <c r="H21" s="14" t="s">
        <v>59</v>
      </c>
    </row>
    <row r="22" spans="2:8" x14ac:dyDescent="0.25">
      <c r="B22" s="4" t="s">
        <v>60</v>
      </c>
      <c r="D22" s="23">
        <f>Atlas_Raw!F6</f>
        <v>892</v>
      </c>
      <c r="E22" s="23">
        <f>Atlas_Raw!G6</f>
        <v>945.5</v>
      </c>
      <c r="F22" s="23">
        <f>Atlas_Raw!H6</f>
        <v>996</v>
      </c>
      <c r="G22" s="23">
        <f>Atlas_Raw!I6</f>
        <v>1041</v>
      </c>
      <c r="H22" s="23">
        <f>Atlas_Raw!J6</f>
        <v>1082.6</v>
      </c>
    </row>
    <row r="23" spans="2:8" x14ac:dyDescent="0.25">
      <c r="B23" s="4" t="s">
        <v>61</v>
      </c>
      <c r="D23" s="17">
        <f>D22/Atlas_Raw!E6-1</f>
        <v>0.060389919163100325</v>
      </c>
      <c r="E23" s="17">
        <f>E22/D22-1</f>
        <v>0.059977578475336246</v>
      </c>
      <c r="F23" s="17">
        <f>F22/E22-1</f>
        <v>0.053410893707033225</v>
      </c>
      <c r="G23" s="17">
        <f>G22/F22-1</f>
        <v>0.04518072289156616</v>
      </c>
      <c r="H23" s="17">
        <f>H22/G22-1</f>
        <v>0.039961575408261174</v>
      </c>
    </row>
    <row r="24" spans="2:8" x14ac:dyDescent="0.25">
      <c r="B24" s="4" t="s">
        <v>63</v>
      </c>
      <c r="D24" s="23">
        <f>Atlas_Raw!F8</f>
        <v>158.8</v>
      </c>
      <c r="E24" s="23">
        <f>Atlas_Raw!G8</f>
        <v>172.1</v>
      </c>
      <c r="F24" s="23">
        <f>Atlas_Raw!H8</f>
        <v>184.3</v>
      </c>
      <c r="G24" s="23">
        <f>Atlas_Raw!I8</f>
        <v>194.7</v>
      </c>
      <c r="H24" s="23">
        <f>Atlas_Raw!J8</f>
        <v>204.6</v>
      </c>
    </row>
    <row r="25" spans="2:8" x14ac:dyDescent="0.25">
      <c r="B25" s="4" t="s">
        <v>64</v>
      </c>
      <c r="D25" s="17">
        <f>D24/D22</f>
        <v>0.17802690582959643</v>
      </c>
      <c r="E25" s="17">
        <f>E24/E22</f>
        <v>0.18202009518773135</v>
      </c>
      <c r="F25" s="17">
        <f>F24/F22</f>
        <v>0.18504016064257028</v>
      </c>
      <c r="G25" s="17">
        <f>G24/G22</f>
        <v>0.18703170028818442</v>
      </c>
      <c r="H25" s="17">
        <f>H24/H22</f>
        <v>0.18898946979493814</v>
      </c>
    </row>
    <row r="26" spans="2:8" x14ac:dyDescent="0.25">
      <c r="B26" s="4" t="s">
        <v>145</v>
      </c>
      <c r="D26" s="23">
        <f>Atlas_Raw!F10</f>
        <v>34.8</v>
      </c>
      <c r="E26" s="23">
        <f>Atlas_Raw!G10</f>
        <v>36.9</v>
      </c>
      <c r="F26" s="23">
        <f>Atlas_Raw!H10</f>
        <v>38.8</v>
      </c>
      <c r="G26" s="23">
        <f>Atlas_Raw!I10</f>
        <v>40.6</v>
      </c>
      <c r="H26" s="23">
        <f>Atlas_Raw!J10</f>
        <v>42.2</v>
      </c>
    </row>
    <row r="27" spans="2:8" x14ac:dyDescent="0.25">
      <c r="B27" s="4" t="s">
        <v>66</v>
      </c>
      <c r="D27" s="18">
        <f>D24-D26</f>
        <v>124.00000000000001</v>
      </c>
      <c r="E27" s="18">
        <f>E24-E26</f>
        <v>135.2</v>
      </c>
      <c r="F27" s="18">
        <f>F24-F26</f>
        <v>145.5</v>
      </c>
      <c r="G27" s="18">
        <f>G24-G26</f>
        <v>154.1</v>
      </c>
      <c r="H27" s="18">
        <f>H24-H26</f>
        <v>162.39999999999998</v>
      </c>
    </row>
    <row r="28" spans="2:8" x14ac:dyDescent="0.25">
      <c r="B28" s="4" t="s">
        <v>146</v>
      </c>
      <c r="D28" s="18">
        <f>-D27*$D$11</f>
        <v>-32.24</v>
      </c>
      <c r="E28" s="18">
        <f>-E27*$D$11</f>
        <v>-35.152</v>
      </c>
      <c r="F28" s="18">
        <f>-F27*$D$11</f>
        <v>-37.83</v>
      </c>
      <c r="G28" s="18">
        <f>-G27*$D$11</f>
        <v>-40.066</v>
      </c>
      <c r="H28" s="18">
        <f>-H27*$D$11</f>
        <v>-42.224</v>
      </c>
    </row>
    <row r="29" spans="2:8" x14ac:dyDescent="0.25">
      <c r="B29" s="4" t="s">
        <v>147</v>
      </c>
      <c r="D29" s="18">
        <f>D27+D28</f>
        <v>91.76</v>
      </c>
      <c r="E29" s="18">
        <f>E27+E28</f>
        <v>100.04799999999999</v>
      </c>
      <c r="F29" s="18">
        <f>F27+F28</f>
        <v>107.67</v>
      </c>
      <c r="G29" s="18">
        <f>G27+G28</f>
        <v>114.03399999999999</v>
      </c>
      <c r="H29" s="18">
        <f>H27+H28</f>
        <v>120.17599999999999</v>
      </c>
    </row>
    <row r="30" spans="2:8" x14ac:dyDescent="0.25">
      <c r="B30" s="3" t="s">
        <v>148</v>
      </c>
      <c r="D30" s="24">
        <f>D29+D31+D32+D33</f>
        <v>83.96000000000001</v>
      </c>
      <c r="E30" s="24">
        <f>E29+E31+E32+E33</f>
        <v>91.84799999999997</v>
      </c>
      <c r="F30" s="24">
        <f>F29+F31+F32+F33</f>
        <v>99.57000000000001</v>
      </c>
      <c r="G30" s="24">
        <f>G29+G31+G32+G33</f>
        <v>106.43399999999998</v>
      </c>
      <c r="H30" s="24">
        <f>H29+H31+H32+H33</f>
        <v>112.67599999999997</v>
      </c>
    </row>
    <row r="31" spans="2:8" x14ac:dyDescent="0.25">
      <c r="B31" s="4" t="s">
        <v>149</v>
      </c>
      <c r="D31" s="23">
        <f>D26</f>
        <v>34.8</v>
      </c>
      <c r="E31" s="23">
        <f>E26</f>
        <v>36.9</v>
      </c>
      <c r="F31" s="23">
        <f>F26</f>
        <v>38.8</v>
      </c>
      <c r="G31" s="23">
        <f>G26</f>
        <v>40.6</v>
      </c>
      <c r="H31" s="23">
        <f>H26</f>
        <v>42.2</v>
      </c>
    </row>
    <row r="32" spans="2:8" x14ac:dyDescent="0.25">
      <c r="B32" s="4" t="s">
        <v>150</v>
      </c>
      <c r="D32" s="23">
        <f>-Atlas_Raw!F12</f>
        <v>-37.5</v>
      </c>
      <c r="E32" s="23">
        <f>-Atlas_Raw!G12</f>
        <v>-39.7</v>
      </c>
      <c r="F32" s="23">
        <f>-Atlas_Raw!H12</f>
        <v>-41.8</v>
      </c>
      <c r="G32" s="23">
        <f>-Atlas_Raw!I12</f>
        <v>-43.7</v>
      </c>
      <c r="H32" s="23">
        <f>-Atlas_Raw!J12</f>
        <v>-45.5</v>
      </c>
    </row>
    <row r="33" spans="2:8" x14ac:dyDescent="0.25">
      <c r="B33" s="4" t="s">
        <v>151</v>
      </c>
      <c r="D33" s="23">
        <f>-Atlas_Raw!F13</f>
        <v>-5.1</v>
      </c>
      <c r="E33" s="23">
        <f>-Atlas_Raw!G13</f>
        <v>-5.4</v>
      </c>
      <c r="F33" s="23">
        <f>-Atlas_Raw!H13</f>
        <v>-5.1</v>
      </c>
      <c r="G33" s="23">
        <f>-Atlas_Raw!I13</f>
        <v>-4.5</v>
      </c>
      <c r="H33" s="23">
        <f>-Atlas_Raw!J13</f>
        <v>-4.2</v>
      </c>
    </row>
    <row r="34" spans="2:8" x14ac:dyDescent="0.25">
      <c r="B34" s="4" t="s">
        <v>152</v>
      </c>
      <c r="D34" s="30">
        <v>0.5</v>
      </c>
      <c r="E34" s="30">
        <v>1.5</v>
      </c>
      <c r="F34" s="30">
        <v>2.5</v>
      </c>
      <c r="G34" s="30">
        <v>3.5</v>
      </c>
      <c r="H34" s="30">
        <v>4.5</v>
      </c>
    </row>
    <row r="35" spans="2:8" x14ac:dyDescent="0.25">
      <c r="B35" s="4" t="s">
        <v>153</v>
      </c>
      <c r="D35" s="31">
        <f>1/(1+$D$16)^D34</f>
        <v>0.9602697123411037</v>
      </c>
      <c r="E35" s="31">
        <f>1/(1+$D$16)^E34</f>
        <v>0.8854819102051745</v>
      </c>
      <c r="F35" s="31">
        <f>1/(1+$D$16)^F34</f>
        <v>0.8165187376253384</v>
      </c>
      <c r="G35" s="31">
        <f>1/(1+$D$16)^G34</f>
        <v>0.7529265603390983</v>
      </c>
      <c r="H35" s="31">
        <f>1/(1+$D$16)^H34</f>
        <v>0.69428707406368</v>
      </c>
    </row>
    <row r="36" spans="2:8" x14ac:dyDescent="0.25">
      <c r="B36" s="4" t="s">
        <v>154</v>
      </c>
      <c r="D36" s="18">
        <f>D30*D35</f>
        <v>80.62424504815907</v>
      </c>
      <c r="E36" s="18">
        <f>E30*E35</f>
        <v>81.32974248852484</v>
      </c>
      <c r="F36" s="18">
        <f>F30*F35</f>
        <v>81.30077070535495</v>
      </c>
      <c r="G36" s="18">
        <f>G30*G35</f>
        <v>80.13698552313159</v>
      </c>
      <c r="H36" s="18">
        <f>H30*H35</f>
        <v>78.22949035719918</v>
      </c>
    </row>
    <row r="39" spans="2:2" x14ac:dyDescent="0.25">
      <c r="B39" s="3" t="s">
        <v>155</v>
      </c>
    </row>
    <row r="40" spans="2:4" x14ac:dyDescent="0.25">
      <c r="B40" s="4" t="s">
        <v>156</v>
      </c>
      <c r="D40" s="18">
        <f>SUM(D36:H36)</f>
        <v>401.62123412236963</v>
      </c>
    </row>
    <row r="41" spans="2:4" x14ac:dyDescent="0.25">
      <c r="B41" s="4" t="s">
        <v>157</v>
      </c>
      <c r="D41" s="18">
        <f>(H30*(1+$D$17)/($D$16-$D$17))/(1+$D$16)^4.5</f>
        <v>1348.5574775669218</v>
      </c>
    </row>
    <row r="42" spans="2:4" x14ac:dyDescent="0.25">
      <c r="B42" s="3" t="s">
        <v>158</v>
      </c>
      <c r="D42" s="24">
        <f>D40+D41</f>
        <v>1750.1787116892915</v>
      </c>
    </row>
    <row r="43" spans="2:4" x14ac:dyDescent="0.25">
      <c r="B43" s="4" t="s">
        <v>122</v>
      </c>
      <c r="D43" s="23">
        <f>-Atlas_Raw!C18</f>
        <v>-315</v>
      </c>
    </row>
    <row r="44" spans="2:4" x14ac:dyDescent="0.25">
      <c r="B44" s="4" t="s">
        <v>123</v>
      </c>
      <c r="D44" s="23">
        <f>-Atlas_Raw!C19</f>
        <v>-84.5</v>
      </c>
    </row>
    <row r="45" spans="2:4" x14ac:dyDescent="0.25">
      <c r="B45" s="4" t="s">
        <v>124</v>
      </c>
      <c r="D45" s="23">
        <f>-Atlas_Raw!C20</f>
        <v>-22</v>
      </c>
    </row>
    <row r="46" spans="2:4" x14ac:dyDescent="0.25">
      <c r="B46" s="4" t="s">
        <v>125</v>
      </c>
      <c r="D46" s="23">
        <f>Atlas_Raw!C17</f>
        <v>68.4</v>
      </c>
    </row>
    <row r="47" spans="2:4" x14ac:dyDescent="0.25">
      <c r="B47" s="3" t="s">
        <v>159</v>
      </c>
      <c r="D47" s="24">
        <f>SUM(D42:D46)</f>
        <v>1397.0787116892916</v>
      </c>
    </row>
    <row r="48" spans="2:4" x14ac:dyDescent="0.25">
      <c r="B48" s="4" t="s">
        <v>127</v>
      </c>
      <c r="D48" s="23">
        <f>Atlas_Raw!C21</f>
        <v>48.6</v>
      </c>
    </row>
    <row r="49" spans="2:4" x14ac:dyDescent="0.25">
      <c r="B49" s="3" t="s">
        <v>160</v>
      </c>
      <c r="D49" s="25">
        <f>D47/D48</f>
        <v>28.746475549162376</v>
      </c>
    </row>
    <row r="52" spans="2:2" x14ac:dyDescent="0.25">
      <c r="B52" s="3" t="s">
        <v>161</v>
      </c>
    </row>
    <row r="53" spans="3:3" x14ac:dyDescent="0.25">
      <c r="C53" s="8" t="s">
        <v>162</v>
      </c>
    </row>
    <row r="54" spans="3:8" x14ac:dyDescent="0.25">
      <c r="C54" s="26">
        <f>D49</f>
        <v>28.746475549162376</v>
      </c>
      <c r="D54" s="32">
        <v>0.015</v>
      </c>
      <c r="E54" s="32">
        <v>0.02</v>
      </c>
      <c r="F54" s="32">
        <v>0.025</v>
      </c>
      <c r="G54" s="32">
        <v>0.03</v>
      </c>
      <c r="H54" s="32">
        <v>0.035</v>
      </c>
    </row>
    <row r="55" spans="3:8" x14ac:dyDescent="0.25">
      <c r="C55" s="32">
        <v>0.075</v>
      </c>
      <c r="D55" s="26">
        <v>29.506051977719963</v>
      </c>
      <c r="E55" s="26">
        <v>32.23328088429913</v>
      </c>
      <c r="F55" s="26">
        <v>35.50595557219412</v>
      </c>
      <c r="G55" s="26">
        <v>39.505891301843555</v>
      </c>
      <c r="H55" s="26">
        <v>44.505810963905354</v>
      </c>
    </row>
    <row r="56" spans="3:8" x14ac:dyDescent="0.25">
      <c r="C56" s="32">
        <v>0.08</v>
      </c>
      <c r="D56" s="26">
        <v>26.68954070754466</v>
      </c>
      <c r="E56" s="26">
        <v>28.960019266134346</v>
      </c>
      <c r="F56" s="26">
        <v>31.64331210810397</v>
      </c>
      <c r="G56" s="26">
        <v>34.86326351846753</v>
      </c>
      <c r="H56" s="26">
        <v>38.79875968668965</v>
      </c>
    </row>
    <row r="57" spans="3:8" x14ac:dyDescent="0.25">
      <c r="C57" s="32">
        <v>0.085</v>
      </c>
      <c r="D57" s="26">
        <v>24.276010840728254</v>
      </c>
      <c r="E57" s="26">
        <v>26.190926611457414</v>
      </c>
      <c r="F57" s="26">
        <v>28.42499501064143</v>
      </c>
      <c r="G57" s="26">
        <v>31.06525766422255</v>
      </c>
      <c r="H57" s="26">
        <v>34.233572848519884</v>
      </c>
    </row>
    <row r="58" spans="3:8" x14ac:dyDescent="0.25">
      <c r="C58" s="32">
        <v>0.09</v>
      </c>
      <c r="D58" s="26">
        <v>22.184851726326155</v>
      </c>
      <c r="E58" s="26">
        <v>23.81795297172936</v>
      </c>
      <c r="F58" s="26">
        <v>25.702300562579204</v>
      </c>
      <c r="G58" s="26">
        <v>27.90070608523736</v>
      </c>
      <c r="H58" s="26">
        <v>30.498821702924275</v>
      </c>
    </row>
    <row r="59" spans="3:8" x14ac:dyDescent="0.25">
      <c r="C59" s="32">
        <v>0.095</v>
      </c>
      <c r="D59" s="26">
        <v>20.355605748056533</v>
      </c>
      <c r="E59" s="26">
        <v>21.761862072694065</v>
      </c>
      <c r="F59" s="26">
        <v>23.369012157994106</v>
      </c>
      <c r="G59" s="26">
        <v>25.223416102571075</v>
      </c>
      <c r="H59" s="26">
        <v>27.386887371244217</v>
      </c>
    </row>
    <row r="61" spans="2:2" x14ac:dyDescent="0.25">
      <c r="B61" s="8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workbookViewId="0" showGridLines="0"/>
  </sheetViews>
  <sheetFormatPr defaultRowHeight="15" outlineLevelRow="0" outlineLevelCol="0" x14ac:dyDescent="55"/>
  <cols>
    <col min="2" max="2" width="36" customWidth="1"/>
    <col min="3" max="5" width="14" customWidth="1"/>
  </cols>
  <sheetData>
    <row r="2" spans="2:2" x14ac:dyDescent="0.25">
      <c r="B2" s="9" t="s">
        <v>164</v>
      </c>
    </row>
    <row r="3" spans="2:2" x14ac:dyDescent="0.25">
      <c r="B3" s="8" t="s">
        <v>165</v>
      </c>
    </row>
    <row r="6" spans="2:5" x14ac:dyDescent="0.25">
      <c r="B6" s="13" t="s">
        <v>166</v>
      </c>
      <c r="C6" s="14" t="s">
        <v>167</v>
      </c>
      <c r="D6" s="14" t="s">
        <v>168</v>
      </c>
      <c r="E6" s="14" t="s">
        <v>169</v>
      </c>
    </row>
    <row r="7" spans="2:5" x14ac:dyDescent="0.25">
      <c r="B7" s="4" t="s">
        <v>170</v>
      </c>
      <c r="C7" s="26">
        <f>Trading_Comps!D32</f>
        <v>31.267534584719286</v>
      </c>
      <c r="D7" s="26">
        <f>Trading_Comps!D31</f>
        <v>33.12250259511841</v>
      </c>
      <c r="E7" s="26">
        <f>Trading_Comps!D33</f>
        <v>38.28663664600501</v>
      </c>
    </row>
    <row r="8" spans="2:5" x14ac:dyDescent="0.25">
      <c r="B8" s="4" t="s">
        <v>171</v>
      </c>
      <c r="C8" s="26">
        <f>MIN(DCF!D55:H59)</f>
        <v>20.355605748056533</v>
      </c>
      <c r="D8" s="26">
        <f>DCF!D49</f>
        <v>28.746475549162376</v>
      </c>
      <c r="E8" s="26">
        <f>MAX(DCF!D55:H59)</f>
        <v>44.505810963905354</v>
      </c>
    </row>
    <row r="10" spans="2:5" x14ac:dyDescent="0.25">
      <c r="B10" s="3" t="s">
        <v>172</v>
      </c>
      <c r="C10" s="25">
        <f>MIN(C7:C8)</f>
        <v>20.355605748056533</v>
      </c>
      <c r="E10" s="25">
        <f>MAX(E7:E8)</f>
        <v>44.505810963905354</v>
      </c>
    </row>
    <row r="13" spans="2:2" x14ac:dyDescent="0.25">
      <c r="B13" s="33" t="s">
        <v>173</v>
      </c>
    </row>
    <row r="14" ht="28" customHeight="1" spans="2:2" x14ac:dyDescent="0.25">
      <c r="B14" s="34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 showGridLines="0"/>
  </sheetViews>
  <sheetFormatPr defaultRowHeight="15" outlineLevelRow="0" outlineLevelCol="0" x14ac:dyDescent="55"/>
  <cols>
    <col min="2" max="2" width="46" customWidth="1"/>
    <col min="3" max="3" width="16" customWidth="1"/>
    <col min="4" max="4" width="14" customWidth="1"/>
  </cols>
  <sheetData>
    <row r="2" spans="2:2" x14ac:dyDescent="0.25">
      <c r="B2" s="9" t="s">
        <v>175</v>
      </c>
    </row>
    <row r="5" spans="2:4" x14ac:dyDescent="0.25">
      <c r="B5" s="13" t="s">
        <v>176</v>
      </c>
      <c r="C5" s="14" t="s">
        <v>177</v>
      </c>
      <c r="D5" s="14" t="s">
        <v>178</v>
      </c>
    </row>
    <row r="6" spans="2:4" x14ac:dyDescent="0.25">
      <c r="B6" s="4" t="s">
        <v>179</v>
      </c>
      <c r="C6" s="35" t="s">
        <v>180</v>
      </c>
      <c r="D6" s="36" t="b">
        <f>ROUND(Trading_Comps!D24+Trading_Comps!D25+Trading_Comps!D26+Trading_Comps!D27+Trading_Comps!D28-Trading_Comps!D29,1)=0</f>
        <v>1</v>
      </c>
    </row>
    <row r="7" spans="2:4" x14ac:dyDescent="0.25">
      <c r="B7" s="4" t="s">
        <v>181</v>
      </c>
      <c r="C7" s="35" t="s">
        <v>180</v>
      </c>
      <c r="D7" s="36" t="b">
        <f>ROUND(DCF!D42+DCF!D43+DCF!D44+DCF!D45+DCF!D46-DCF!D47,1)=0</f>
        <v>1</v>
      </c>
    </row>
    <row r="8" spans="2:4" x14ac:dyDescent="0.25">
      <c r="B8" s="4" t="s">
        <v>182</v>
      </c>
      <c r="C8" s="35" t="s">
        <v>180</v>
      </c>
      <c r="D8" s="36" t="b">
        <f>DCF!D17&lt;DCF!D16</f>
        <v>1</v>
      </c>
    </row>
    <row r="9" spans="2:4" x14ac:dyDescent="0.25">
      <c r="B9" s="4" t="s">
        <v>183</v>
      </c>
      <c r="C9" s="35" t="s">
        <v>180</v>
      </c>
      <c r="D9" s="36" t="b">
        <f>Atlas_Raw!C21&gt;0</f>
        <v>1</v>
      </c>
    </row>
    <row r="10" spans="2:4" x14ac:dyDescent="0.25">
      <c r="B10" s="4" t="s">
        <v>184</v>
      </c>
      <c r="C10" s="35" t="s">
        <v>180</v>
      </c>
      <c r="D10" s="36" t="b">
        <f>NOT(ISERROR(SUM(Trading_Comps!E7:J14)))</f>
        <v>1</v>
      </c>
    </row>
    <row r="11" spans="2:4" x14ac:dyDescent="0.25">
      <c r="B11" s="4" t="s">
        <v>185</v>
      </c>
      <c r="C11" s="35" t="s">
        <v>180</v>
      </c>
      <c r="D11" s="36" t="b">
        <f>NOT(ISERROR(SUM(DCF!D30:H30)))</f>
        <v>1</v>
      </c>
    </row>
    <row r="12" spans="2:4" x14ac:dyDescent="0.25">
      <c r="B12" s="4" t="s">
        <v>186</v>
      </c>
      <c r="C12" s="35" t="s">
        <v>180</v>
      </c>
      <c r="D12" s="36" t="b">
        <f>COUNT(Trading_Comps!E16:J20)=30</f>
        <v>1</v>
      </c>
    </row>
    <row r="13" spans="2:4" x14ac:dyDescent="0.25">
      <c r="B13" s="4" t="s">
        <v>187</v>
      </c>
      <c r="C13" s="35" t="s">
        <v>180</v>
      </c>
      <c r="D13" s="36" t="b">
        <f>COUNT(DCF!D55:H59)=25</f>
        <v>1</v>
      </c>
    </row>
    <row r="14" spans="2:4" x14ac:dyDescent="0.25">
      <c r="B14" s="4" t="s">
        <v>188</v>
      </c>
      <c r="C14" s="35" t="s">
        <v>180</v>
      </c>
      <c r="D14" s="36" t="b">
        <f>DCF!D42&gt;0</f>
        <v>1</v>
      </c>
    </row>
    <row r="15" spans="2:4" x14ac:dyDescent="0.25">
      <c r="B15" s="4" t="s">
        <v>189</v>
      </c>
      <c r="C15" s="35" t="s">
        <v>180</v>
      </c>
      <c r="D15" s="36" t="b">
        <f>DCF!D49&gt;0</f>
        <v>1</v>
      </c>
    </row>
    <row r="18" spans="2:4" x14ac:dyDescent="0.25">
      <c r="B18" s="37" t="s">
        <v>190</v>
      </c>
      <c r="D18" s="38" t="str">
        <f>IF(AND(D6:D15),"OK","À CORRIGER")</f>
        <v>OK</v>
      </c>
    </row>
    <row r="20" spans="2:2" x14ac:dyDescent="0.25">
      <c r="B20" s="8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192</v>
      </c>
      <c r="B1" t="s">
        <v>193</v>
      </c>
    </row>
    <row r="2" spans="1:2" x14ac:dyDescent="0.25">
      <c r="A2" t="s">
        <v>194</v>
      </c>
      <c r="B2" t="s">
        <v>195</v>
      </c>
    </row>
    <row r="3" spans="1:2" x14ac:dyDescent="0.25">
      <c r="A3" t="s">
        <v>196</v>
      </c>
      <c r="B3" t="s">
        <v>197</v>
      </c>
    </row>
    <row r="4" spans="1:2" x14ac:dyDescent="0.25">
      <c r="A4" t="s">
        <v>198</v>
      </c>
      <c r="B4" t="s">
        <v>199</v>
      </c>
    </row>
    <row r="5" spans="1:2" x14ac:dyDescent="0.25">
      <c r="A5" t="s">
        <v>200</v>
      </c>
      <c r="B5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Instructions</vt:lpstr>
      <vt:lpstr>Atlas_Raw</vt:lpstr>
      <vt:lpstr>Comps_Raw</vt:lpstr>
      <vt:lpstr>Trading_Comps</vt:lpstr>
      <vt:lpstr>DCF</vt:lpstr>
      <vt:lpstr>Valuation_Summary</vt:lpstr>
      <vt:lpstr>Checks</vt:lpstr>
      <vt:lpstr>_LAB_META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M&amp;A Training Lab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